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ocs\DIO-Cursos\ComputacaoNuvem\"/>
    </mc:Choice>
  </mc:AlternateContent>
  <xr:revisionPtr revIDLastSave="0" documentId="13_ncr:1_{7A88B150-9476-45DF-8404-45911497F6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 Executivo TCO" sheetId="1" r:id="rId1"/>
    <sheet name="Detalhamento AW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11" i="1" s="1"/>
  <c r="C9" i="1"/>
  <c r="B9" i="1"/>
  <c r="D8" i="1"/>
  <c r="D7" i="1"/>
  <c r="D6" i="1"/>
  <c r="D5" i="1"/>
  <c r="D4" i="1"/>
  <c r="D12" i="1" l="1"/>
</calcChain>
</file>

<file path=xl/sharedStrings.xml><?xml version="1.0" encoding="utf-8"?>
<sst xmlns="http://schemas.openxmlformats.org/spreadsheetml/2006/main" count="25" uniqueCount="25">
  <si>
    <t>Comparativo de Custo Total de Propriedade (TCO) - Abstergo Industries</t>
  </si>
  <si>
    <t>Categoria de Gasto</t>
  </si>
  <si>
    <t>On-Premise (Mensal)</t>
  </si>
  <si>
    <t>AWS Cloud (Mensal)</t>
  </si>
  <si>
    <t>Economia (Mensal)</t>
  </si>
  <si>
    <t>Computação (Servidores/Virtualização)</t>
  </si>
  <si>
    <t>Armazenamento (Arquivos e Backups)</t>
  </si>
  <si>
    <t>Banco de Dados (Licenciamento e Hardware)</t>
  </si>
  <si>
    <t>Infraestrutura Física (Energia/Ar/Espaço)</t>
  </si>
  <si>
    <t>Manutenção e Suporte Técnico</t>
  </si>
  <si>
    <t>TOTAL MENSAL ESTIMADO</t>
  </si>
  <si>
    <t>Economia Anual Projetada</t>
  </si>
  <si>
    <t>Redução percentual de custos</t>
  </si>
  <si>
    <t>Serviço Selecionado</t>
  </si>
  <si>
    <t>Motivação Técnica</t>
  </si>
  <si>
    <t>Premissa de Cálculo</t>
  </si>
  <si>
    <t>EC2 Auto Scaling</t>
  </si>
  <si>
    <t>Escalabilidade para picos de pedidos farmacêuticos</t>
  </si>
  <si>
    <t>Redução de 40% no desperdício de CPU noturno</t>
  </si>
  <si>
    <t>Amazon S3</t>
  </si>
  <si>
    <t>Arquivamento de receitas e notas fiscais</t>
  </si>
  <si>
    <t>Uso de Intelligent-Tiering para dados frios</t>
  </si>
  <si>
    <t>Amazon RDS</t>
  </si>
  <si>
    <t>Gerenciamento automatizado de estoque</t>
  </si>
  <si>
    <t>Eliminação de horas extras de DBA para patches/backups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</si>
</sst>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R\$\ #,##0.00"/>
  </numFmts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165" fontId="0" fillId="0" borderId="0" xfId="0" applyNumberFormat="1"/>
    <xf numFmtId="0" fontId="2" fillId="2" borderId="1" xfId="0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Comparação</a:t>
            </a:r>
            <a:r>
              <a:rPr lang="pt-BR" b="1" baseline="0"/>
              <a:t> de Custos Mensais On-Premisse x AWS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'Resumo Executivo TCO'!$B$3</c:f>
              <c:strCache>
                <c:ptCount val="1"/>
                <c:pt idx="0">
                  <c:v>On-Premise (Mensal)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Executivo TCO'!$A$4:$A$8</c:f>
              <c:strCache>
                <c:ptCount val="5"/>
                <c:pt idx="0">
                  <c:v>Computação (Servidores/Virtualização)</c:v>
                </c:pt>
                <c:pt idx="1">
                  <c:v>Armazenamento (Arquivos e Backups)</c:v>
                </c:pt>
                <c:pt idx="2">
                  <c:v>Banco de Dados (Licenciamento e Hardware)</c:v>
                </c:pt>
                <c:pt idx="3">
                  <c:v>Infraestrutura Física (Energia/Ar/Espaço)</c:v>
                </c:pt>
                <c:pt idx="4">
                  <c:v>Manutenção e Suporte Técnico</c:v>
                </c:pt>
              </c:strCache>
            </c:strRef>
          </c:cat>
          <c:val>
            <c:numRef>
              <c:f>'Resumo Executivo TCO'!$B$4:$B$8</c:f>
              <c:numCache>
                <c:formatCode>\R\$\ #,##0.00</c:formatCode>
                <c:ptCount val="5"/>
                <c:pt idx="0">
                  <c:v>5200</c:v>
                </c:pt>
                <c:pt idx="1">
                  <c:v>1800</c:v>
                </c:pt>
                <c:pt idx="2">
                  <c:v>4500</c:v>
                </c:pt>
                <c:pt idx="3">
                  <c:v>1200</c:v>
                </c:pt>
                <c:pt idx="4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7-4D52-B13A-E90DC5F5E82A}"/>
            </c:ext>
          </c:extLst>
        </c:ser>
        <c:ser>
          <c:idx val="1"/>
          <c:order val="1"/>
          <c:tx>
            <c:strRef>
              <c:f>'Resumo Executivo TCO'!$C$3</c:f>
              <c:strCache>
                <c:ptCount val="1"/>
                <c:pt idx="0">
                  <c:v>AWS Cloud (Mensal)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Executivo TCO'!$A$4:$A$8</c:f>
              <c:strCache>
                <c:ptCount val="5"/>
                <c:pt idx="0">
                  <c:v>Computação (Servidores/Virtualização)</c:v>
                </c:pt>
                <c:pt idx="1">
                  <c:v>Armazenamento (Arquivos e Backups)</c:v>
                </c:pt>
                <c:pt idx="2">
                  <c:v>Banco de Dados (Licenciamento e Hardware)</c:v>
                </c:pt>
                <c:pt idx="3">
                  <c:v>Infraestrutura Física (Energia/Ar/Espaço)</c:v>
                </c:pt>
                <c:pt idx="4">
                  <c:v>Manutenção e Suporte Técnico</c:v>
                </c:pt>
              </c:strCache>
            </c:strRef>
          </c:cat>
          <c:val>
            <c:numRef>
              <c:f>'Resumo Executivo TCO'!$C$4:$C$8</c:f>
              <c:numCache>
                <c:formatCode>\R\$\ #,##0.00</c:formatCode>
                <c:ptCount val="5"/>
                <c:pt idx="0">
                  <c:v>3100</c:v>
                </c:pt>
                <c:pt idx="1">
                  <c:v>650</c:v>
                </c:pt>
                <c:pt idx="2">
                  <c:v>2800</c:v>
                </c:pt>
                <c:pt idx="3">
                  <c:v>0</c:v>
                </c:pt>
                <c:pt idx="4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A7-4D52-B13A-E90DC5F5E8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93983471"/>
        <c:axId val="1893984911"/>
      </c:barChart>
      <c:catAx>
        <c:axId val="1893983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3984911"/>
        <c:crosses val="autoZero"/>
        <c:auto val="1"/>
        <c:lblAlgn val="ctr"/>
        <c:lblOffset val="100"/>
        <c:noMultiLvlLbl val="0"/>
      </c:catAx>
      <c:valAx>
        <c:axId val="189398491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$\ #,##0.00" sourceLinked="1"/>
        <c:majorTickMark val="none"/>
        <c:minorTickMark val="none"/>
        <c:tickLblPos val="nextTo"/>
        <c:crossAx val="189398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12</xdr:row>
      <xdr:rowOff>176212</xdr:rowOff>
    </xdr:from>
    <xdr:to>
      <xdr:col>3</xdr:col>
      <xdr:colOff>1666874</xdr:colOff>
      <xdr:row>30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0B3401-6BEB-7CAA-2D66-85FE8BF73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H24" sqref="H24"/>
    </sheetView>
  </sheetViews>
  <sheetFormatPr defaultRowHeight="15" x14ac:dyDescent="0.25"/>
  <cols>
    <col min="1" max="1" width="40" customWidth="1"/>
    <col min="2" max="2" width="25" customWidth="1"/>
    <col min="3" max="3" width="27.85546875" bestFit="1" customWidth="1"/>
    <col min="4" max="4" width="25" customWidth="1"/>
  </cols>
  <sheetData>
    <row r="1" spans="1:4" ht="18.75" x14ac:dyDescent="0.3">
      <c r="A1" s="8" t="s">
        <v>0</v>
      </c>
      <c r="B1" s="9"/>
      <c r="C1" s="9"/>
      <c r="D1" s="9"/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s="2" t="s">
        <v>5</v>
      </c>
      <c r="B4" s="3">
        <v>5200</v>
      </c>
      <c r="C4" s="3">
        <v>3100</v>
      </c>
      <c r="D4" s="3">
        <f>B4-C4</f>
        <v>2100</v>
      </c>
    </row>
    <row r="5" spans="1:4" x14ac:dyDescent="0.25">
      <c r="A5" s="2" t="s">
        <v>6</v>
      </c>
      <c r="B5" s="3">
        <v>1800</v>
      </c>
      <c r="C5" s="3">
        <v>650</v>
      </c>
      <c r="D5" s="3">
        <f>B5-C5</f>
        <v>1150</v>
      </c>
    </row>
    <row r="6" spans="1:4" x14ac:dyDescent="0.25">
      <c r="A6" s="2" t="s">
        <v>7</v>
      </c>
      <c r="B6" s="3">
        <v>4500</v>
      </c>
      <c r="C6" s="3">
        <v>2800</v>
      </c>
      <c r="D6" s="3">
        <f>B6-C6</f>
        <v>1700</v>
      </c>
    </row>
    <row r="7" spans="1:4" x14ac:dyDescent="0.25">
      <c r="A7" s="2" t="s">
        <v>8</v>
      </c>
      <c r="B7" s="3">
        <v>1200</v>
      </c>
      <c r="C7" s="3">
        <v>0</v>
      </c>
      <c r="D7" s="3">
        <f>B7-C7</f>
        <v>1200</v>
      </c>
    </row>
    <row r="8" spans="1:4" x14ac:dyDescent="0.25">
      <c r="A8" s="2" t="s">
        <v>9</v>
      </c>
      <c r="B8" s="3">
        <v>3500</v>
      </c>
      <c r="C8" s="3">
        <v>1500</v>
      </c>
      <c r="D8" s="3">
        <f>B8-C8</f>
        <v>2000</v>
      </c>
    </row>
    <row r="9" spans="1:4" x14ac:dyDescent="0.25">
      <c r="A9" s="4" t="s">
        <v>10</v>
      </c>
      <c r="B9" s="5">
        <f>SUM(B4:B8)</f>
        <v>16200</v>
      </c>
      <c r="C9" s="5">
        <f>SUM(C4:C8)</f>
        <v>8050</v>
      </c>
      <c r="D9" s="5">
        <f>SUM(D4:D8)</f>
        <v>8150</v>
      </c>
    </row>
    <row r="10" spans="1:4" x14ac:dyDescent="0.25">
      <c r="B10" s="6"/>
      <c r="C10" s="6"/>
      <c r="D10" s="6"/>
    </row>
    <row r="11" spans="1:4" x14ac:dyDescent="0.25">
      <c r="C11" s="2" t="s">
        <v>11</v>
      </c>
      <c r="D11" s="2">
        <f>D9*12</f>
        <v>97800</v>
      </c>
    </row>
    <row r="12" spans="1:4" x14ac:dyDescent="0.25">
      <c r="C12" s="2" t="s">
        <v>12</v>
      </c>
      <c r="D12" s="10">
        <f>D9/B9</f>
        <v>0.50308641975308643</v>
      </c>
    </row>
  </sheetData>
  <mergeCells count="1">
    <mergeCell ref="A1:D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cols>
    <col min="1" max="1" width="30" customWidth="1"/>
    <col min="2" max="2" width="50" customWidth="1"/>
    <col min="3" max="3" width="52.28515625" bestFit="1" customWidth="1"/>
  </cols>
  <sheetData>
    <row r="1" spans="1:3" x14ac:dyDescent="0.25">
      <c r="A1" s="7" t="s">
        <v>13</v>
      </c>
      <c r="B1" s="7" t="s">
        <v>14</v>
      </c>
      <c r="C1" s="7" t="s">
        <v>15</v>
      </c>
    </row>
    <row r="2" spans="1:3" x14ac:dyDescent="0.25">
      <c r="A2" s="2" t="s">
        <v>16</v>
      </c>
      <c r="B2" s="2" t="s">
        <v>17</v>
      </c>
      <c r="C2" s="2" t="s">
        <v>18</v>
      </c>
    </row>
    <row r="3" spans="1:3" x14ac:dyDescent="0.25">
      <c r="A3" s="2" t="s">
        <v>19</v>
      </c>
      <c r="B3" s="2" t="s">
        <v>20</v>
      </c>
      <c r="C3" s="2" t="s">
        <v>21</v>
      </c>
    </row>
    <row r="4" spans="1:3" x14ac:dyDescent="0.25">
      <c r="A4" s="2" t="s">
        <v>22</v>
      </c>
      <c r="B4" s="2" t="s">
        <v>23</v>
      </c>
      <c r="C4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 Executivo TCO</vt:lpstr>
      <vt:lpstr>Detalhamento AWS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Cristiano Rodrigues Rosa</cp:lastModifiedBy>
  <dcterms:created xsi:type="dcterms:W3CDTF">2026-05-05T16:24:53Z</dcterms:created>
  <dcterms:modified xsi:type="dcterms:W3CDTF">2026-05-05T17:04:09Z</dcterms:modified>
</cp:coreProperties>
</file>